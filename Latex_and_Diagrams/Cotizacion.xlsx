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s\Documents\"/>
    </mc:Choice>
  </mc:AlternateContent>
  <xr:revisionPtr revIDLastSave="0" documentId="13_ncr:1_{2F67C4D8-C17E-459F-96F0-796CAC24F34A}" xr6:coauthVersionLast="47" xr6:coauthVersionMax="47" xr10:uidLastSave="{00000000-0000-0000-0000-000000000000}"/>
  <bookViews>
    <workbookView xWindow="28680" yWindow="-120" windowWidth="29040" windowHeight="15720" xr2:uid="{81559BF5-389B-4838-8BF1-675EDB7532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" l="1"/>
  <c r="K6" i="1"/>
  <c r="K7" i="1"/>
  <c r="K8" i="1"/>
  <c r="K9" i="1"/>
  <c r="K5" i="1"/>
  <c r="E8" i="1"/>
  <c r="E7" i="1"/>
  <c r="E3" i="1"/>
  <c r="E4" i="1"/>
  <c r="E5" i="1"/>
  <c r="E6" i="1"/>
  <c r="E2" i="1"/>
  <c r="E11" i="1" l="1"/>
  <c r="K12" i="1"/>
</calcChain>
</file>

<file path=xl/sharedStrings.xml><?xml version="1.0" encoding="utf-8"?>
<sst xmlns="http://schemas.openxmlformats.org/spreadsheetml/2006/main" count="48" uniqueCount="46">
  <si>
    <t xml:space="preserve">cantidad </t>
  </si>
  <si>
    <t>dispositivo</t>
  </si>
  <si>
    <t>HackRF One</t>
  </si>
  <si>
    <t>Precio</t>
  </si>
  <si>
    <t>conversion</t>
  </si>
  <si>
    <t>Antena</t>
  </si>
  <si>
    <t>Jetson Nano</t>
  </si>
  <si>
    <t xml:space="preserve">raspberry </t>
  </si>
  <si>
    <t>USRP b210</t>
  </si>
  <si>
    <t>total</t>
  </si>
  <si>
    <t>antena FM</t>
  </si>
  <si>
    <t>USRP320</t>
  </si>
  <si>
    <t>Tecnología</t>
  </si>
  <si>
    <t>Banda típica</t>
  </si>
  <si>
    <t>BW</t>
  </si>
  <si>
    <t>LoRa</t>
  </si>
  <si>
    <t>902–928 MHz</t>
  </si>
  <si>
    <t>125–500 kHz</t>
  </si>
  <si>
    <t>NB-IoT</t>
  </si>
  <si>
    <t>LTE (700–1800 MHz)</t>
  </si>
  <si>
    <t>180 kHz</t>
  </si>
  <si>
    <t>LTE-M</t>
  </si>
  <si>
    <t>LTE</t>
  </si>
  <si>
    <t>1.4 MHz</t>
  </si>
  <si>
    <t>Wi-SUN</t>
  </si>
  <si>
    <t>50–200 kHz</t>
  </si>
  <si>
    <t>Zigbee</t>
  </si>
  <si>
    <t>915 MHz / 2.4 GHz</t>
  </si>
  <si>
    <t>600 kHz – 2 MHz</t>
  </si>
  <si>
    <t>Wi-Fi HaLow</t>
  </si>
  <si>
    <t>1–16 MHz</t>
  </si>
  <si>
    <t>BLE</t>
  </si>
  <si>
    <t>2.4 GHz</t>
  </si>
  <si>
    <t>2 MHz</t>
  </si>
  <si>
    <t>antenas</t>
  </si>
  <si>
    <t>USRP</t>
  </si>
  <si>
    <t>JETSON</t>
  </si>
  <si>
    <t>AMPLIFICADOR</t>
  </si>
  <si>
    <t>NUBE</t>
  </si>
  <si>
    <t>RADAR</t>
  </si>
  <si>
    <t>Cantidad</t>
  </si>
  <si>
    <t>dispositovos</t>
  </si>
  <si>
    <t>Precio (Dolares)</t>
  </si>
  <si>
    <t>valor dólar</t>
  </si>
  <si>
    <t>Precio (Pesos)</t>
  </si>
  <si>
    <t>Precio RADAR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</si>
</sst>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40A]\ * #,##0_-;\-[$$-240A]\ * #,##0_-;_-[$$-240A]\ * &quot;-&quot;??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0" fontId="2" fillId="0" borderId="1" xfId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sdielect.com/antenas-fm/5085-ant-tnc-q9.html" TargetMode="External"/><Relationship Id="rId1" Type="http://schemas.openxmlformats.org/officeDocument/2006/relationships/hyperlink" Target="https://www.amazon.com/Scanner-Discone-Base-Antenna-25-1300MHz/dp/B0CD1YQ5XT/ref=sr_1_23?c=ts&amp;dib=eyJ2IjoiMSJ9.arHeJoZK_ZDscPe3kSe1_BHoTzoqS8Lpq8yXyicLOJTvpmphpUGHb-A-tDmkXkkEG-_cWMxNGCNg3LGo86Quot4BHq0EhQQ5TZpFsmRhqyHe2amOu-DPqZGTr_Zy_H2ZQfj1wiboH9yaaXRAS100FZmRKQO5WHeryPP1VffXOMgHswI1mbxQDQWH0xTxQtqrFk7kTnk7KE8Okc-lOednoaXeDeJmsYTsTbj5YVOzUYpHrzxNCYgRppZuJUS6h7Fu7p7Is-GBa6yPXvddtZxEeYg9xWtug9NFo5axo6ZEx2c.xYuO0QfOZNy3L6cIDV0tK8uCrBMaffchWffPouagVGk&amp;dib_tag=se&amp;keywords=Radio+Antennas&amp;qid=1769172748&amp;refinements=p_36%3A1253506011&amp;s=aht&amp;sr=1-23&amp;ts_id=172533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21294-67AA-4B1B-917A-63336C3FED15}">
  <dimension ref="A1:N22"/>
  <sheetViews>
    <sheetView tabSelected="1" workbookViewId="0">
      <selection activeCell="G19" sqref="G19"/>
    </sheetView>
  </sheetViews>
  <sheetFormatPr baseColWidth="10" defaultRowHeight="14.4" x14ac:dyDescent="0.3"/>
  <cols>
    <col min="5" max="5" width="16.44140625" bestFit="1" customWidth="1"/>
    <col min="8" max="8" width="15.5546875" customWidth="1"/>
    <col min="9" max="9" width="15.77734375" customWidth="1"/>
    <col min="11" max="11" width="14.33203125" bestFit="1" customWidth="1"/>
    <col min="14" max="14" width="16.44140625" bestFit="1" customWidth="1"/>
  </cols>
  <sheetData>
    <row r="1" spans="1:14" x14ac:dyDescent="0.3">
      <c r="A1" s="3" t="s">
        <v>0</v>
      </c>
      <c r="B1" s="3" t="s">
        <v>1</v>
      </c>
      <c r="C1" s="3" t="s">
        <v>3</v>
      </c>
      <c r="D1" s="3" t="s">
        <v>4</v>
      </c>
      <c r="E1" s="3" t="s">
        <v>9</v>
      </c>
      <c r="G1" s="2" t="s">
        <v>45</v>
      </c>
      <c r="H1" s="2"/>
      <c r="I1" s="2"/>
      <c r="J1" s="2"/>
      <c r="K1" s="2"/>
    </row>
    <row r="2" spans="1:14" x14ac:dyDescent="0.3">
      <c r="A2" s="3">
        <v>2</v>
      </c>
      <c r="B2" s="3" t="s">
        <v>2</v>
      </c>
      <c r="C2" s="3">
        <v>375</v>
      </c>
      <c r="D2" s="3">
        <v>3700</v>
      </c>
      <c r="E2" s="4">
        <f>A2*C2*D2*1.2</f>
        <v>3330000</v>
      </c>
      <c r="G2" s="3"/>
      <c r="H2" s="3"/>
      <c r="I2" s="3"/>
      <c r="J2" s="3"/>
      <c r="K2" s="3"/>
    </row>
    <row r="3" spans="1:14" x14ac:dyDescent="0.3">
      <c r="A3" s="3">
        <v>5</v>
      </c>
      <c r="B3" s="5" t="s">
        <v>5</v>
      </c>
      <c r="C3" s="3">
        <v>139</v>
      </c>
      <c r="D3" s="3">
        <v>3700</v>
      </c>
      <c r="E3" s="4">
        <f t="shared" ref="E3:E8" si="0">A3*C3*D3*1.2</f>
        <v>3085800</v>
      </c>
      <c r="G3" s="3" t="s">
        <v>40</v>
      </c>
      <c r="H3" s="3" t="s">
        <v>41</v>
      </c>
      <c r="I3" s="3" t="s">
        <v>42</v>
      </c>
      <c r="J3" s="3" t="s">
        <v>43</v>
      </c>
      <c r="K3" s="3" t="s">
        <v>44</v>
      </c>
    </row>
    <row r="4" spans="1:14" x14ac:dyDescent="0.3">
      <c r="A4" s="3">
        <v>3</v>
      </c>
      <c r="B4" s="3" t="s">
        <v>6</v>
      </c>
      <c r="C4" s="3">
        <v>250</v>
      </c>
      <c r="D4" s="3">
        <v>3700</v>
      </c>
      <c r="E4" s="4">
        <f t="shared" si="0"/>
        <v>3330000</v>
      </c>
      <c r="G4" s="3"/>
      <c r="H4" s="3"/>
      <c r="I4" s="3"/>
      <c r="J4" s="3"/>
      <c r="K4" s="3"/>
    </row>
    <row r="5" spans="1:14" x14ac:dyDescent="0.3">
      <c r="A5" s="3">
        <v>2</v>
      </c>
      <c r="B5" s="3" t="s">
        <v>7</v>
      </c>
      <c r="C5" s="3">
        <v>132</v>
      </c>
      <c r="D5" s="3">
        <v>3700</v>
      </c>
      <c r="E5" s="4">
        <f t="shared" si="0"/>
        <v>1172160</v>
      </c>
      <c r="G5" s="3">
        <v>16</v>
      </c>
      <c r="H5" s="3" t="s">
        <v>34</v>
      </c>
      <c r="I5" s="3">
        <v>139</v>
      </c>
      <c r="J5" s="3">
        <v>3900</v>
      </c>
      <c r="K5" s="4">
        <f>G5*I5*J5*1.2</f>
        <v>10408320</v>
      </c>
    </row>
    <row r="6" spans="1:14" x14ac:dyDescent="0.3">
      <c r="A6" s="3">
        <v>3</v>
      </c>
      <c r="B6" s="3" t="s">
        <v>8</v>
      </c>
      <c r="C6" s="3">
        <v>847</v>
      </c>
      <c r="D6" s="3">
        <v>3700</v>
      </c>
      <c r="E6" s="4">
        <f t="shared" si="0"/>
        <v>11282040</v>
      </c>
      <c r="G6" s="3">
        <v>4</v>
      </c>
      <c r="H6" s="3" t="s">
        <v>35</v>
      </c>
      <c r="I6" s="3">
        <v>847</v>
      </c>
      <c r="J6" s="3">
        <v>3900</v>
      </c>
      <c r="K6" s="4">
        <f>G6*I6*J6*1.2</f>
        <v>15855840</v>
      </c>
    </row>
    <row r="7" spans="1:14" x14ac:dyDescent="0.3">
      <c r="A7" s="3">
        <v>5</v>
      </c>
      <c r="B7" s="5" t="s">
        <v>10</v>
      </c>
      <c r="C7" s="3">
        <v>20</v>
      </c>
      <c r="D7" s="3">
        <v>3700</v>
      </c>
      <c r="E7" s="4">
        <f t="shared" si="0"/>
        <v>444000</v>
      </c>
      <c r="G7" s="3">
        <v>4</v>
      </c>
      <c r="H7" s="3" t="s">
        <v>36</v>
      </c>
      <c r="I7" s="3">
        <v>250</v>
      </c>
      <c r="J7" s="3">
        <v>3900</v>
      </c>
      <c r="K7" s="4">
        <f>G7*I7*J7*1.2</f>
        <v>4680000</v>
      </c>
      <c r="N7" s="1"/>
    </row>
    <row r="8" spans="1:14" x14ac:dyDescent="0.3">
      <c r="A8" s="3">
        <v>1</v>
      </c>
      <c r="B8" s="3" t="s">
        <v>11</v>
      </c>
      <c r="C8" s="3">
        <v>9270</v>
      </c>
      <c r="D8" s="3">
        <v>3700</v>
      </c>
      <c r="E8" s="4">
        <f t="shared" si="0"/>
        <v>41158800</v>
      </c>
      <c r="G8" s="3">
        <v>4</v>
      </c>
      <c r="H8" s="3" t="s">
        <v>37</v>
      </c>
      <c r="I8" s="3">
        <v>70</v>
      </c>
      <c r="J8" s="3">
        <v>3900</v>
      </c>
      <c r="K8" s="4">
        <f>G8*I8*J8*1.2</f>
        <v>1310400</v>
      </c>
    </row>
    <row r="9" spans="1:14" x14ac:dyDescent="0.3">
      <c r="A9" s="3"/>
      <c r="B9" s="3"/>
      <c r="C9" s="3"/>
      <c r="D9" s="3"/>
      <c r="E9" s="3"/>
      <c r="G9" s="3">
        <v>1</v>
      </c>
      <c r="H9" s="3" t="s">
        <v>38</v>
      </c>
      <c r="I9" s="3">
        <v>100</v>
      </c>
      <c r="J9" s="3">
        <v>3900</v>
      </c>
      <c r="K9" s="4">
        <f>G9*I9*J9*1.2</f>
        <v>468000</v>
      </c>
    </row>
    <row r="10" spans="1:14" x14ac:dyDescent="0.3">
      <c r="A10" s="3"/>
      <c r="B10" s="3"/>
      <c r="C10" s="3"/>
      <c r="D10" s="3"/>
      <c r="E10" s="3"/>
      <c r="G10" s="3">
        <v>1</v>
      </c>
      <c r="H10" s="3" t="s">
        <v>39</v>
      </c>
      <c r="I10" s="3">
        <v>3500</v>
      </c>
      <c r="J10" s="3">
        <v>3900</v>
      </c>
      <c r="K10" s="4">
        <f>G10*I10*J10*1.2</f>
        <v>16380000</v>
      </c>
    </row>
    <row r="11" spans="1:14" x14ac:dyDescent="0.3">
      <c r="A11" s="3"/>
      <c r="B11" s="3"/>
      <c r="C11" s="3"/>
      <c r="D11" s="3"/>
      <c r="E11" s="4">
        <f>SUM(E2:E8)</f>
        <v>63802800</v>
      </c>
      <c r="G11" s="3"/>
      <c r="H11" s="3"/>
      <c r="I11" s="3"/>
      <c r="J11" s="3"/>
      <c r="K11" s="3"/>
    </row>
    <row r="12" spans="1:14" x14ac:dyDescent="0.3">
      <c r="G12" s="3"/>
      <c r="H12" s="3"/>
      <c r="I12" s="3"/>
      <c r="J12" s="3"/>
      <c r="K12" s="4">
        <f>SUM(K5:K10)</f>
        <v>49102560</v>
      </c>
    </row>
    <row r="15" spans="1:14" x14ac:dyDescent="0.3">
      <c r="A15" s="6" t="s">
        <v>12</v>
      </c>
      <c r="B15" s="6" t="s">
        <v>13</v>
      </c>
      <c r="C15" s="6" t="s">
        <v>14</v>
      </c>
    </row>
    <row r="16" spans="1:14" ht="28.8" x14ac:dyDescent="0.3">
      <c r="A16" s="7" t="s">
        <v>15</v>
      </c>
      <c r="B16" s="7" t="s">
        <v>16</v>
      </c>
      <c r="C16" s="7" t="s">
        <v>17</v>
      </c>
    </row>
    <row r="17" spans="1:7" ht="43.2" x14ac:dyDescent="0.3">
      <c r="A17" s="7" t="s">
        <v>18</v>
      </c>
      <c r="B17" s="7" t="s">
        <v>19</v>
      </c>
      <c r="C17" s="7" t="s">
        <v>20</v>
      </c>
    </row>
    <row r="18" spans="1:7" x14ac:dyDescent="0.3">
      <c r="A18" s="7" t="s">
        <v>21</v>
      </c>
      <c r="B18" s="7" t="s">
        <v>22</v>
      </c>
      <c r="C18" s="7" t="s">
        <v>23</v>
      </c>
    </row>
    <row r="19" spans="1:7" ht="28.8" x14ac:dyDescent="0.3">
      <c r="A19" s="7" t="s">
        <v>24</v>
      </c>
      <c r="B19" s="7" t="s">
        <v>16</v>
      </c>
      <c r="C19" s="7" t="s">
        <v>25</v>
      </c>
      <c r="G19" s="8"/>
    </row>
    <row r="20" spans="1:7" ht="28.8" x14ac:dyDescent="0.3">
      <c r="A20" s="7" t="s">
        <v>26</v>
      </c>
      <c r="B20" s="7" t="s">
        <v>27</v>
      </c>
      <c r="C20" s="7" t="s">
        <v>28</v>
      </c>
    </row>
    <row r="21" spans="1:7" ht="28.8" x14ac:dyDescent="0.3">
      <c r="A21" s="7" t="s">
        <v>29</v>
      </c>
      <c r="B21" s="7" t="s">
        <v>16</v>
      </c>
      <c r="C21" s="7" t="s">
        <v>30</v>
      </c>
    </row>
    <row r="22" spans="1:7" x14ac:dyDescent="0.3">
      <c r="A22" s="7" t="s">
        <v>31</v>
      </c>
      <c r="B22" s="7" t="s">
        <v>32</v>
      </c>
      <c r="C22" s="7" t="s">
        <v>33</v>
      </c>
    </row>
  </sheetData>
  <mergeCells count="1">
    <mergeCell ref="G1:K1"/>
  </mergeCells>
  <hyperlinks>
    <hyperlink ref="B3" r:id="rId1" xr:uid="{1A7DB89F-32B6-4882-B327-14D7B0E1C4F5}"/>
    <hyperlink ref="B7" r:id="rId2" xr:uid="{35295A9C-1BCB-4517-B9F2-A5F08F1DF90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altamiranda</dc:creator>
  <cp:lastModifiedBy>carlos altamiranda</cp:lastModifiedBy>
  <dcterms:created xsi:type="dcterms:W3CDTF">2026-01-23T12:49:26Z</dcterms:created>
  <dcterms:modified xsi:type="dcterms:W3CDTF">2026-01-24T12:16:21Z</dcterms:modified>
</cp:coreProperties>
</file>